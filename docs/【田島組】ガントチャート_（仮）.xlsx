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ガントチャート" state="visible" r:id="rId4"/>
  </sheets>
  <calcPr calcId="171027"/>
</workbook>
</file>

<file path=xl/sharedStrings.xml><?xml version="1.0" encoding="utf-8"?>
<sst xmlns="http://schemas.openxmlformats.org/spreadsheetml/2006/main" count="187" uniqueCount="133">
  <si>
    <t>田島組 制作スケジュール（ガントチャート）　2026年5月 〜 2027年2月</t>
  </si>
  <si>
    <r>
      <rPr>
        <b/>
        <color rgb="FF333333"/>
        <sz val="10"/>
      </rPr>
      <t>メンバーと役割：</t>
    </r>
    <r>
      <rPr>
        <color rgb="FF333333"/>
        <sz val="10"/>
      </rPr>
      <t>村上壱基（リーダー・品質管理者） / 新田漣（サブリーダー） / 饒波廣翔（進捗管理者・課題管理者） / 仲程天飛（進捗管理者・人員管理者） / 田島優人（課題管理者・人員管理者）</t>
    </r>
    <r>
      <rPr>
        <color rgb="FF777777"/>
        <sz val="10"/>
      </rPr>
      <t xml:space="preserve">　　凡例：■完了  ■予定  ◆マイルストーン　（進捗バーは開始日〜終了日から自動描画）</t>
    </r>
  </si>
  <si>
    <t>No.</t>
  </si>
  <si>
    <t>作業内容</t>
  </si>
  <si>
    <t>担当者</t>
  </si>
  <si>
    <t>開始日</t>
  </si>
  <si>
    <t>終了日</t>
  </si>
  <si>
    <t>進捗率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</si>
  <si>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</si>
  <si>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</si>
  <si>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</si>
  <si>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</si>
  <si>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</si>
  <si>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</si>
  <si>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</si>
  <si>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</si>
  <si>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</si>
  <si>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</si>
  <si>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5/25</t>
  </si>
  <si>
    <t>6/1</t>
  </si>
  <si>
    <t>6/8</t>
  </si>
  <si>
    <t>6/15</t>
  </si>
  <si>
    <t>6/22</t>
  </si>
  <si>
    <t>6/29</t>
  </si>
  <si>
    <t>7/6</t>
  </si>
  <si>
    <t>7/13</t>
  </si>
  <si>
    <t>7/20</t>
  </si>
  <si>
    <t>7/27</t>
  </si>
  <si>
    <t>8/3</t>
  </si>
  <si>
    <t>8/10</t>
  </si>
  <si>
    <t>8/17</t>
  </si>
  <si>
    <t>8/24</t>
  </si>
  <si>
    <t>8/31</t>
  </si>
  <si>
    <t>9/7</t>
  </si>
  <si>
    <t>9/14</t>
  </si>
  <si>
    <t>9/21</t>
  </si>
  <si>
    <t>9/28</t>
  </si>
  <si>
    <t>10/5</t>
  </si>
  <si>
    <t>10/12</t>
  </si>
  <si>
    <t>10/19</t>
  </si>
  <si>
    <t>10/26</t>
  </si>
  <si>
    <t>11/2</t>
  </si>
  <si>
    <t>11/9</t>
  </si>
  <si>
    <t>11/16</t>
  </si>
  <si>
    <t>11/23</t>
  </si>
  <si>
    <t>11/30</t>
  </si>
  <si>
    <t>12/7</t>
  </si>
  <si>
    <t>12/14</t>
  </si>
  <si>
    <t>12/21</t>
  </si>
  <si>
    <t>12/28</t>
  </si>
  <si>
    <t>1/4</t>
  </si>
  <si>
    <t>1/11</t>
  </si>
  <si>
    <t>1/18</t>
  </si>
  <si>
    <t>1/25</t>
  </si>
  <si>
    <t>2/1</t>
  </si>
  <si>
    <t>2/8</t>
  </si>
  <si>
    <t>2/15</t>
  </si>
  <si>
    <t>2/22</t>
  </si>
  <si>
    <t>① 企画 / 要件定義</t>
  </si>
  <si>
    <t>制作目的・コンセプト策定</t>
  </si>
  <si>
    <t>村上壱基</t>
  </si>
  <si>
    <t>ターゲット・ペルソナ策定</t>
  </si>
  <si>
    <t>全員</t>
  </si>
  <si>
    <t>機能定義書作成（F-01〜F-18）</t>
  </si>
  <si>
    <t>第1次調査（認知・実態）集計</t>
  </si>
  <si>
    <t>新田漣</t>
  </si>
  <si>
    <t>要件定義書作成</t>
  </si>
  <si>
    <t>ガントチャート作成</t>
  </si>
  <si>
    <t>② 調査 / インタビュー</t>
  </si>
  <si>
    <t>インタビュー対象者の選定</t>
  </si>
  <si>
    <t>アポ取り（電話：依頼・日時/場所の認識合わせ）</t>
  </si>
  <si>
    <t>★ 姉妹校の先生へインタビュー（6/8 14:00〜15:00 AI校301）</t>
  </si>
  <si>
    <t>◆</t>
  </si>
  <si>
    <t>自校 男性職員へアンケート（ユーザー目線）</t>
  </si>
  <si>
    <t>アンケート結果の整理</t>
  </si>
  <si>
    <t>仲程天飛</t>
  </si>
  <si>
    <t>業界プロへヒアリング（紹介者経由・アプリ紹介）</t>
  </si>
  <si>
    <t>③ 設計 / UX</t>
  </si>
  <si>
    <t>画面遷移図・ユーザーフロー作成</t>
  </si>
  <si>
    <t>ワイヤーフレーム作成（全画面）</t>
  </si>
  <si>
    <t>診断ロジック設計（6軸スコア）</t>
  </si>
  <si>
    <t>DB設計（Supabase スキーマ）</t>
  </si>
  <si>
    <t>田島優人</t>
  </si>
  <si>
    <t>カスタマージャーニーマップ作成</t>
  </si>
  <si>
    <t>アクセシビリティ要件定義</t>
  </si>
  <si>
    <t>④ デザイン / 画面設計</t>
  </si>
  <si>
    <t>デザインコンセプト策定</t>
  </si>
  <si>
    <t>デザインガイドライン策定</t>
  </si>
  <si>
    <t>コーディング規約・命名規則策定</t>
  </si>
  <si>
    <t>画面デザイン：F-01 6タイプ即決UI(TOP)</t>
  </si>
  <si>
    <t>饒波廣翔</t>
  </si>
  <si>
    <t>画面デザイン：F-02 23問初期チェック</t>
  </si>
  <si>
    <t>画面デザイン：F-04 ロードマップ</t>
  </si>
  <si>
    <t>画面デザイン：F-05系 商品推薦・詳細</t>
  </si>
  <si>
    <t>画面デザイン：F-08系 使い方・ケア情報</t>
  </si>
  <si>
    <t>⑤ 開発環境 / 共通基盤</t>
  </si>
  <si>
    <t>開発環境構築（React + Vite）</t>
  </si>
  <si>
    <t>Supabase セットアップ・認証</t>
  </si>
  <si>
    <t>商品マスタデータ収集・登録</t>
  </si>
  <si>
    <t>共通UIコンポーネント実装</t>
  </si>
  <si>
    <t>ルーティング・状態管理基盤</t>
  </si>
  <si>
    <t>⑥ 実装（MVP機能）</t>
  </si>
  <si>
    <t>F-01 6タイプ即決UI 実装</t>
  </si>
  <si>
    <t>F-02 23問初期チェック 実装</t>
  </si>
  <si>
    <t>F-03 6軸スコアリング 実装</t>
  </si>
  <si>
    <t>F-04 身だしなみロードマップ 実装</t>
  </si>
  <si>
    <t>F-18 持っている商品登録 実装</t>
  </si>
  <si>
    <t>F-05系 商品推薦・詳細統合 実装</t>
  </si>
  <si>
    <t>F-08系 使い方・ケア情報統合 実装</t>
  </si>
  <si>
    <t>⑦ テスト / 結合</t>
  </si>
  <si>
    <t>テスト項目の洗い出し</t>
  </si>
  <si>
    <t>テスト仕様書作成</t>
  </si>
  <si>
    <t>全機能の結合（フロー通し）</t>
  </si>
  <si>
    <t>動作テスト・実機確認</t>
  </si>
  <si>
    <t>バグ修正</t>
  </si>
  <si>
    <t>⑧ 中間発表</t>
  </si>
  <si>
    <t>第2次調査（プロトタイプ評価）</t>
  </si>
  <si>
    <t>デモ用シナリオ・QR導線準備</t>
  </si>
  <si>
    <t>発表スライド作成</t>
  </si>
  <si>
    <t>発表原稿作成</t>
  </si>
  <si>
    <t>発表リハーサル</t>
  </si>
  <si>
    <t>★ 中間発表 本番</t>
  </si>
  <si>
    <t>⑨ 拡張実装 / 成果発表会</t>
  </si>
  <si>
    <t>第2次調査結果の改善反映</t>
  </si>
  <si>
    <t>F-07 髭剃りケアモード 実装</t>
  </si>
  <si>
    <t>F-17 習慣化サポート 実装</t>
  </si>
  <si>
    <t>F-09 簡易フィードバック 実装</t>
  </si>
  <si>
    <t>最終テスト・バグ修正</t>
  </si>
  <si>
    <t>成果発表スライド作成</t>
  </si>
  <si>
    <t>成果発表原稿作成</t>
  </si>
  <si>
    <t>最終リハーサル</t>
  </si>
  <si>
    <t>★ 成果発表会 本番</t>
  </si>
  <si>
    <t>全体進捗（平均）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</si>
</sst>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color rgb="FFFFFFFF"/>
      <sz val="7.5"/>
    </font>
    <font>
      <b/>
      <color rgb="FF1A1A1A"/>
      <sz val="11"/>
    </font>
    <font>
      <b/>
      <color rgb="FFB00000"/>
    </font>
    <font>
      <b/>
      <color rgb="FFD32F2F"/>
      <sz val="9"/>
    </font>
  </fonts>
  <fills count="18">
    <fill>
      <patternFill patternType="none"/>
    </fill>
    <fill>
      <patternFill patternType="gray125"/>
    </fill>
    <fill>
      <patternFill patternType="solid">
        <fgColor rgb="FF2F3B52"/>
      </patternFill>
    </fill>
    <fill>
      <patternFill patternType="solid">
        <fgColor rgb="FFEAEef5"/>
      </patternFill>
    </fill>
    <fill>
      <patternFill patternType="solid">
        <fgColor rgb="FF44546A"/>
      </patternFill>
    </fill>
    <fill>
      <patternFill patternType="solid">
        <fgColor rgb="FF8497B0"/>
      </patternFill>
    </fill>
    <fill>
      <patternFill patternType="solid">
        <fgColor rgb="FFB3D9FF"/>
      </patternFill>
    </fill>
    <fill>
      <patternFill patternType="solid">
        <fgColor rgb="FF4CAF50"/>
      </patternFill>
    </fill>
    <fill>
      <patternFill patternType="solid">
        <fgColor rgb="FFF2F5FA"/>
      </patternFill>
    </fill>
    <fill>
      <patternFill patternType="solid">
        <fgColor rgb="FFFFC000"/>
      </patternFill>
    </fill>
    <fill>
      <patternFill patternType="solid">
        <fgColor rgb="FFD6E4F0"/>
      </patternFill>
    </fill>
    <fill>
      <patternFill patternType="solid">
        <fgColor rgb="FFFFE08A"/>
      </patternFill>
    </fill>
    <fill>
      <patternFill patternType="solid">
        <fgColor rgb="FFBFE6C9"/>
      </patternFill>
    </fill>
    <fill>
      <patternFill patternType="solid">
        <fgColor rgb="FFF7D9A6"/>
      </patternFill>
    </fill>
    <fill>
      <patternFill patternType="solid">
        <fgColor rgb="FFE6C9F2"/>
      </patternFill>
    </fill>
    <fill>
      <patternFill patternType="solid">
        <fgColor rgb="FFFFD9D9"/>
      </patternFill>
    </fill>
    <fill>
      <patternFill patternType="solid">
        <fgColor rgb="FFD9E6FF"/>
      </patternFill>
    </fill>
    <fill>
      <patternFill patternType="solid">
        <fgColor rgb="FFFFC4A3"/>
      </patternFill>
    </fill>
  </fills>
  <borders count="3">
    <border>
      <left/>
      <right/>
      <top/>
      <bottom/>
      <diagonal/>
    </border>
    <border>
      <left style="thin">
        <color rgb="FFB7BFCC"/>
      </left>
      <right style="thin">
        <color rgb="FFB7BFCC"/>
      </right>
      <top style="thin">
        <color rgb="FFB7BFCC"/>
      </top>
      <bottom style="thin">
        <color rgb="FFB7BFCC"/>
      </bottom>
      <diagonal/>
    </border>
    <border>
      <left style="medium">
        <color rgb="FFFF0000"/>
      </left>
      <right style="thin">
        <color rgb="FFB7BFCC"/>
      </right>
      <top style="thin">
        <color rgb="FFB7BFCC"/>
      </top>
      <bottom style="thin">
        <color rgb="FFB7BF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  <xf numFmtId="0" fontId="4" fillId="6" borderId="1" xfId="0" applyFont="1" applyFill="1" applyBorder="1" applyAlignment="1">
      <alignment horizontal="left" vertical="center" indent="1"/>
    </xf>
    <xf numFmtId="0" fontId="0" fillId="6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7" borderId="2" xfId="0" applyFill="1" applyBorder="1"/>
    <xf numFmtId="0" fontId="0" fillId="7" borderId="1" xfId="0" applyFill="1" applyBorder="1"/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indent="1"/>
    </xf>
    <xf numFmtId="164" fontId="0" fillId="8" borderId="1" xfId="0" applyNumberFormat="1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/>
    <xf numFmtId="0" fontId="0" fillId="0" borderId="2" xfId="0" applyBorder="1"/>
    <xf numFmtId="0" fontId="0" fillId="9" borderId="2" xfId="0" applyFill="1" applyBorder="1"/>
    <xf numFmtId="0" fontId="0" fillId="9" borderId="1" xfId="0" applyFill="1" applyBorder="1"/>
    <xf numFmtId="0" fontId="4" fillId="10" borderId="1" xfId="0" applyFont="1" applyFill="1" applyBorder="1" applyAlignment="1">
      <alignment horizontal="left" vertical="center" indent="1"/>
    </xf>
    <xf numFmtId="0" fontId="0" fillId="10" borderId="1" xfId="0" applyFill="1" applyBorder="1"/>
    <xf numFmtId="0" fontId="0" fillId="8" borderId="2" xfId="0" applyFill="1" applyBorder="1"/>
    <xf numFmtId="0" fontId="5" fillId="0" borderId="1" xfId="0" applyFont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indent="1"/>
    </xf>
    <xf numFmtId="0" fontId="0" fillId="12" borderId="1" xfId="0" applyFill="1" applyBorder="1"/>
    <xf numFmtId="0" fontId="4" fillId="13" borderId="1" xfId="0" applyFont="1" applyFill="1" applyBorder="1" applyAlignment="1">
      <alignment horizontal="left" vertical="center" indent="1"/>
    </xf>
    <xf numFmtId="0" fontId="0" fillId="13" borderId="1" xfId="0" applyFill="1" applyBorder="1"/>
    <xf numFmtId="0" fontId="4" fillId="14" borderId="1" xfId="0" applyFont="1" applyFill="1" applyBorder="1" applyAlignment="1">
      <alignment horizontal="left" vertical="center" indent="1"/>
    </xf>
    <xf numFmtId="0" fontId="0" fillId="14" borderId="1" xfId="0" applyFill="1" applyBorder="1"/>
    <xf numFmtId="0" fontId="4" fillId="15" borderId="1" xfId="0" applyFont="1" applyFill="1" applyBorder="1" applyAlignment="1">
      <alignment horizontal="left" vertical="center" indent="1"/>
    </xf>
    <xf numFmtId="0" fontId="0" fillId="15" borderId="1" xfId="0" applyFill="1" applyBorder="1"/>
    <xf numFmtId="0" fontId="4" fillId="16" borderId="1" xfId="0" applyFont="1" applyFill="1" applyBorder="1" applyAlignment="1">
      <alignment horizontal="left" vertical="center" indent="1"/>
    </xf>
    <xf numFmtId="0" fontId="0" fillId="16" borderId="1" xfId="0" applyFill="1" applyBorder="1"/>
    <xf numFmtId="0" fontId="4" fillId="11" borderId="1" xfId="0" applyFont="1" applyFill="1" applyBorder="1" applyAlignment="1">
      <alignment horizontal="left" vertical="center" indent="1"/>
    </xf>
    <xf numFmtId="0" fontId="0" fillId="11" borderId="1" xfId="0" applyFill="1" applyBorder="1"/>
    <xf numFmtId="0" fontId="5" fillId="8" borderId="1" xfId="0" applyFont="1" applyFill="1" applyBorder="1" applyAlignment="1">
      <alignment horizontal="left" vertical="center" indent="1"/>
    </xf>
    <xf numFmtId="0" fontId="4" fillId="17" borderId="1" xfId="0" applyFont="1" applyFill="1" applyBorder="1" applyAlignment="1">
      <alignment horizontal="left" vertical="center" indent="1"/>
    </xf>
    <xf numFmtId="0" fontId="0" fillId="17" borderId="1" xfId="0" applyFill="1" applyBorder="1"/>
    <xf numFmtId="0" fontId="2" fillId="2" borderId="1" xfId="0" applyFont="1" applyFill="1" applyBorder="1" applyAlignment="1">
      <alignment horizontal="right" vertical="center" indent="1"/>
    </xf>
    <xf numFmtId="0" fontId="0" fillId="2" borderId="1" xfId="0" applyFill="1" applyBorder="1"/>
    <xf numFmtId="9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73"/>
  <sheetViews>
    <sheetView workbookViewId="0">
      <pane xSplit="6" ySplit="4" topLeftCell="G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" width="12" customWidth="1"/>
    <col min="6" max="6" width="8" customWidth="1"/>
    <col min="7" max="46" width="3.2" customWidth="1"/>
  </cols>
  <sheetData>
    <row r="1" ht="30" customHeight="1" spans="1:4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0" customHeight="1" spans="1:4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ht="18" customHeight="1" spans="1:4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4"/>
      <c r="J3" s="4"/>
      <c r="K3" s="4"/>
      <c r="L3" s="4"/>
      <c r="M3" s="4" t="s">
        <v>10</v>
      </c>
      <c r="N3" s="4"/>
      <c r="O3" s="4"/>
      <c r="P3" s="4"/>
      <c r="Q3" s="4" t="s">
        <v>11</v>
      </c>
      <c r="R3" s="4"/>
      <c r="S3" s="4"/>
      <c r="T3" s="4"/>
      <c r="U3" s="4"/>
      <c r="V3" s="4" t="s">
        <v>12</v>
      </c>
      <c r="W3" s="4"/>
      <c r="X3" s="4"/>
      <c r="Y3" s="4"/>
      <c r="Z3" s="4" t="s">
        <v>13</v>
      </c>
      <c r="AA3" s="4"/>
      <c r="AB3" s="4"/>
      <c r="AC3" s="4"/>
      <c r="AD3" s="4" t="s">
        <v>14</v>
      </c>
      <c r="AE3" s="4"/>
      <c r="AF3" s="4"/>
      <c r="AG3" s="4"/>
      <c r="AH3" s="4"/>
      <c r="AI3" s="4" t="s">
        <v>15</v>
      </c>
      <c r="AJ3" s="4"/>
      <c r="AK3" s="4"/>
      <c r="AL3" s="4"/>
      <c r="AM3" s="4" t="s">
        <v>16</v>
      </c>
      <c r="AN3" s="4"/>
      <c r="AO3" s="4"/>
      <c r="AP3" s="4"/>
      <c r="AQ3" s="4" t="s">
        <v>17</v>
      </c>
      <c r="AR3" s="4"/>
      <c r="AS3" s="4"/>
      <c r="AT3" s="4"/>
    </row>
    <row r="4" ht="34" customHeight="1" spans="1:46" x14ac:dyDescent="0.25">
      <c r="A4" s="3"/>
      <c r="B4" s="3"/>
      <c r="C4" s="3"/>
      <c r="D4" s="3"/>
      <c r="E4" s="3"/>
      <c r="F4" s="3"/>
      <c r="G4" s="5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  <c r="AC4" s="6" t="s">
        <v>40</v>
      </c>
      <c r="AD4" s="6" t="s">
        <v>41</v>
      </c>
      <c r="AE4" s="6" t="s">
        <v>42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6" t="s">
        <v>52</v>
      </c>
      <c r="AP4" s="6" t="s">
        <v>53</v>
      </c>
      <c r="AQ4" s="6" t="s">
        <v>54</v>
      </c>
      <c r="AR4" s="6" t="s">
        <v>55</v>
      </c>
      <c r="AS4" s="6" t="s">
        <v>56</v>
      </c>
      <c r="AT4" s="6" t="s">
        <v>57</v>
      </c>
    </row>
    <row r="5" ht="18" customHeight="1" spans="1:46" x14ac:dyDescent="0.25">
      <c r="A5" s="7" t="s">
        <v>58</v>
      </c>
      <c r="B5" s="7"/>
      <c r="C5" s="7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 ht="16" customHeight="1" spans="1:46" x14ac:dyDescent="0.25">
      <c r="A6" s="9">
        <v>1</v>
      </c>
      <c r="B6" s="10" t="s">
        <v>59</v>
      </c>
      <c r="C6" s="9" t="s">
        <v>60</v>
      </c>
      <c r="D6" s="11">
        <v>46166.625</v>
      </c>
      <c r="E6" s="11">
        <v>46179.625</v>
      </c>
      <c r="F6" s="12">
        <v>1</v>
      </c>
      <c r="G6" s="13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ht="16" customHeight="1" spans="1:46" x14ac:dyDescent="0.25">
      <c r="A7" s="16">
        <v>2</v>
      </c>
      <c r="B7" s="17" t="s">
        <v>61</v>
      </c>
      <c r="C7" s="16" t="s">
        <v>62</v>
      </c>
      <c r="D7" s="18">
        <v>46166.625</v>
      </c>
      <c r="E7" s="18">
        <v>46179.625</v>
      </c>
      <c r="F7" s="19">
        <v>1</v>
      </c>
      <c r="G7" s="13"/>
      <c r="H7" s="14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 ht="16" customHeight="1" spans="1:46" x14ac:dyDescent="0.25">
      <c r="A8" s="9">
        <v>3</v>
      </c>
      <c r="B8" s="10" t="s">
        <v>63</v>
      </c>
      <c r="C8" s="9" t="s">
        <v>60</v>
      </c>
      <c r="D8" s="11">
        <v>46173.625</v>
      </c>
      <c r="E8" s="11">
        <v>46186.625</v>
      </c>
      <c r="F8" s="12">
        <v>1</v>
      </c>
      <c r="G8" s="21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ht="16" customHeight="1" spans="1:46" x14ac:dyDescent="0.25">
      <c r="A9" s="16">
        <v>4</v>
      </c>
      <c r="B9" s="17" t="s">
        <v>64</v>
      </c>
      <c r="C9" s="16" t="s">
        <v>65</v>
      </c>
      <c r="D9" s="18">
        <v>46166.625</v>
      </c>
      <c r="E9" s="18">
        <v>46179.625</v>
      </c>
      <c r="F9" s="19">
        <v>0.6</v>
      </c>
      <c r="G9" s="22"/>
      <c r="H9" s="23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</row>
    <row r="10" ht="16" customHeight="1" spans="1:46" x14ac:dyDescent="0.25">
      <c r="A10" s="9">
        <v>5</v>
      </c>
      <c r="B10" s="10" t="s">
        <v>66</v>
      </c>
      <c r="C10" s="9" t="s">
        <v>60</v>
      </c>
      <c r="D10" s="11">
        <v>46180.625</v>
      </c>
      <c r="E10" s="11">
        <v>46193.625</v>
      </c>
      <c r="F10" s="12">
        <v>0.3</v>
      </c>
      <c r="G10" s="21"/>
      <c r="H10" s="15"/>
      <c r="I10" s="23"/>
      <c r="J10" s="23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</row>
    <row r="11" ht="16" customHeight="1" spans="1:46" x14ac:dyDescent="0.25">
      <c r="A11" s="16">
        <v>6</v>
      </c>
      <c r="B11" s="17" t="s">
        <v>67</v>
      </c>
      <c r="C11" s="16" t="s">
        <v>60</v>
      </c>
      <c r="D11" s="18">
        <v>46166.625</v>
      </c>
      <c r="E11" s="18">
        <v>46172.625</v>
      </c>
      <c r="F11" s="19">
        <v>1</v>
      </c>
      <c r="G11" s="13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</row>
    <row r="12" ht="18" customHeight="1" spans="1:46" x14ac:dyDescent="0.25">
      <c r="A12" s="24" t="s">
        <v>68</v>
      </c>
      <c r="B12" s="24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</row>
    <row r="13" ht="16" customHeight="1" spans="1:46" x14ac:dyDescent="0.25">
      <c r="A13" s="9">
        <v>1</v>
      </c>
      <c r="B13" s="10" t="s">
        <v>69</v>
      </c>
      <c r="C13" s="9" t="s">
        <v>62</v>
      </c>
      <c r="D13" s="11">
        <v>46166.625</v>
      </c>
      <c r="E13" s="11">
        <v>46179.625</v>
      </c>
      <c r="F13" s="12">
        <v>0</v>
      </c>
      <c r="G13" s="22"/>
      <c r="H13" s="23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ht="16" customHeight="1" spans="1:46" x14ac:dyDescent="0.25">
      <c r="A14" s="16">
        <v>2</v>
      </c>
      <c r="B14" s="17" t="s">
        <v>70</v>
      </c>
      <c r="C14" s="16" t="s">
        <v>60</v>
      </c>
      <c r="D14" s="18">
        <v>46173.625</v>
      </c>
      <c r="E14" s="18">
        <v>46179.625</v>
      </c>
      <c r="F14" s="19">
        <v>0</v>
      </c>
      <c r="G14" s="26"/>
      <c r="H14" s="23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</row>
    <row r="15" ht="16" customHeight="1" spans="1:46" x14ac:dyDescent="0.25">
      <c r="A15" s="9">
        <v>3</v>
      </c>
      <c r="B15" s="27" t="s">
        <v>71</v>
      </c>
      <c r="C15" s="9" t="s">
        <v>62</v>
      </c>
      <c r="D15" s="11">
        <v>46180.625</v>
      </c>
      <c r="E15" s="11">
        <v>46186.625</v>
      </c>
      <c r="F15" s="12">
        <v>0</v>
      </c>
      <c r="G15" s="21"/>
      <c r="H15" s="15"/>
      <c r="I15" s="28" t="s">
        <v>72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ht="16" customHeight="1" spans="1:46" x14ac:dyDescent="0.25">
      <c r="A16" s="16">
        <v>4</v>
      </c>
      <c r="B16" s="17" t="s">
        <v>73</v>
      </c>
      <c r="C16" s="16" t="s">
        <v>65</v>
      </c>
      <c r="D16" s="18">
        <v>46180.625</v>
      </c>
      <c r="E16" s="18">
        <v>46193.625</v>
      </c>
      <c r="F16" s="19">
        <v>0</v>
      </c>
      <c r="G16" s="26"/>
      <c r="H16" s="20"/>
      <c r="I16" s="23"/>
      <c r="J16" s="23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</row>
    <row r="17" ht="16" customHeight="1" spans="1:46" x14ac:dyDescent="0.25">
      <c r="A17" s="9">
        <v>5</v>
      </c>
      <c r="B17" s="10" t="s">
        <v>74</v>
      </c>
      <c r="C17" s="9" t="s">
        <v>75</v>
      </c>
      <c r="D17" s="11">
        <v>46187.625</v>
      </c>
      <c r="E17" s="11">
        <v>46193.625</v>
      </c>
      <c r="F17" s="12">
        <v>0</v>
      </c>
      <c r="G17" s="21"/>
      <c r="H17" s="15"/>
      <c r="I17" s="15"/>
      <c r="J17" s="23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ht="16" customHeight="1" spans="1:46" x14ac:dyDescent="0.25">
      <c r="A18" s="16">
        <v>6</v>
      </c>
      <c r="B18" s="17" t="s">
        <v>76</v>
      </c>
      <c r="C18" s="16" t="s">
        <v>60</v>
      </c>
      <c r="D18" s="18">
        <v>46187.625</v>
      </c>
      <c r="E18" s="18">
        <v>46200.625</v>
      </c>
      <c r="F18" s="19">
        <v>0</v>
      </c>
      <c r="G18" s="26"/>
      <c r="H18" s="20"/>
      <c r="I18" s="20"/>
      <c r="J18" s="23"/>
      <c r="K18" s="23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</row>
    <row r="19" ht="18" customHeight="1" spans="1:46" x14ac:dyDescent="0.25">
      <c r="A19" s="29" t="s">
        <v>77</v>
      </c>
      <c r="B19" s="29"/>
      <c r="C19" s="29"/>
      <c r="D19" s="29"/>
      <c r="E19" s="29"/>
      <c r="F19" s="29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</row>
    <row r="20" ht="16" customHeight="1" spans="1:46" x14ac:dyDescent="0.25">
      <c r="A20" s="9">
        <v>1</v>
      </c>
      <c r="B20" s="10" t="s">
        <v>78</v>
      </c>
      <c r="C20" s="9" t="s">
        <v>60</v>
      </c>
      <c r="D20" s="11">
        <v>46187.625</v>
      </c>
      <c r="E20" s="11">
        <v>46200.625</v>
      </c>
      <c r="F20" s="12">
        <v>0</v>
      </c>
      <c r="G20" s="21"/>
      <c r="H20" s="15"/>
      <c r="I20" s="15"/>
      <c r="J20" s="23"/>
      <c r="K20" s="23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</row>
    <row r="21" ht="16" customHeight="1" spans="1:46" x14ac:dyDescent="0.25">
      <c r="A21" s="16">
        <v>2</v>
      </c>
      <c r="B21" s="17" t="s">
        <v>79</v>
      </c>
      <c r="C21" s="16" t="s">
        <v>65</v>
      </c>
      <c r="D21" s="18">
        <v>46194.625</v>
      </c>
      <c r="E21" s="18">
        <v>46214.625</v>
      </c>
      <c r="F21" s="19">
        <v>0</v>
      </c>
      <c r="G21" s="26"/>
      <c r="H21" s="20"/>
      <c r="I21" s="20"/>
      <c r="J21" s="20"/>
      <c r="K21" s="23"/>
      <c r="L21" s="23"/>
      <c r="M21" s="23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ht="16" customHeight="1" spans="1:46" x14ac:dyDescent="0.25">
      <c r="A22" s="9">
        <v>3</v>
      </c>
      <c r="B22" s="10" t="s">
        <v>80</v>
      </c>
      <c r="C22" s="9" t="s">
        <v>60</v>
      </c>
      <c r="D22" s="11">
        <v>46194.625</v>
      </c>
      <c r="E22" s="11">
        <v>46214.625</v>
      </c>
      <c r="F22" s="12">
        <v>0</v>
      </c>
      <c r="G22" s="21"/>
      <c r="H22" s="15"/>
      <c r="I22" s="15"/>
      <c r="J22" s="15"/>
      <c r="K22" s="23"/>
      <c r="L22" s="23"/>
      <c r="M22" s="23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</row>
    <row r="23" ht="16" customHeight="1" spans="1:46" x14ac:dyDescent="0.25">
      <c r="A23" s="16">
        <v>4</v>
      </c>
      <c r="B23" s="17" t="s">
        <v>81</v>
      </c>
      <c r="C23" s="16" t="s">
        <v>82</v>
      </c>
      <c r="D23" s="18">
        <v>46201.625</v>
      </c>
      <c r="E23" s="18">
        <v>46221.625</v>
      </c>
      <c r="F23" s="19">
        <v>0</v>
      </c>
      <c r="G23" s="26"/>
      <c r="H23" s="20"/>
      <c r="I23" s="20"/>
      <c r="J23" s="20"/>
      <c r="K23" s="20"/>
      <c r="L23" s="23"/>
      <c r="M23" s="23"/>
      <c r="N23" s="23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</row>
    <row r="24" ht="16" customHeight="1" spans="1:46" x14ac:dyDescent="0.25">
      <c r="A24" s="9">
        <v>5</v>
      </c>
      <c r="B24" s="10" t="s">
        <v>83</v>
      </c>
      <c r="C24" s="9" t="s">
        <v>75</v>
      </c>
      <c r="D24" s="11">
        <v>46201.625</v>
      </c>
      <c r="E24" s="11">
        <v>46214.625</v>
      </c>
      <c r="F24" s="12">
        <v>0</v>
      </c>
      <c r="G24" s="21"/>
      <c r="H24" s="15"/>
      <c r="I24" s="15"/>
      <c r="J24" s="15"/>
      <c r="K24" s="15"/>
      <c r="L24" s="23"/>
      <c r="M24" s="23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</row>
    <row r="25" ht="16" customHeight="1" spans="1:46" x14ac:dyDescent="0.25">
      <c r="A25" s="16">
        <v>6</v>
      </c>
      <c r="B25" s="17" t="s">
        <v>84</v>
      </c>
      <c r="C25" s="16" t="s">
        <v>60</v>
      </c>
      <c r="D25" s="18">
        <v>46208.625</v>
      </c>
      <c r="E25" s="18">
        <v>46221.625</v>
      </c>
      <c r="F25" s="19">
        <v>0</v>
      </c>
      <c r="G25" s="26"/>
      <c r="H25" s="20"/>
      <c r="I25" s="20"/>
      <c r="J25" s="20"/>
      <c r="K25" s="20"/>
      <c r="L25" s="20"/>
      <c r="M25" s="23"/>
      <c r="N25" s="23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</row>
    <row r="26" ht="18" customHeight="1" spans="1:46" x14ac:dyDescent="0.25">
      <c r="A26" s="31" t="s">
        <v>85</v>
      </c>
      <c r="B26" s="31"/>
      <c r="C26" s="31"/>
      <c r="D26" s="31"/>
      <c r="E26" s="31"/>
      <c r="F26" s="3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</row>
    <row r="27" ht="16" customHeight="1" spans="1:46" x14ac:dyDescent="0.25">
      <c r="A27" s="9">
        <v>1</v>
      </c>
      <c r="B27" s="10" t="s">
        <v>86</v>
      </c>
      <c r="C27" s="9" t="s">
        <v>65</v>
      </c>
      <c r="D27" s="11">
        <v>46215.625</v>
      </c>
      <c r="E27" s="11">
        <v>46228.625</v>
      </c>
      <c r="F27" s="12">
        <v>0</v>
      </c>
      <c r="G27" s="21"/>
      <c r="H27" s="15"/>
      <c r="I27" s="15"/>
      <c r="J27" s="15"/>
      <c r="K27" s="15"/>
      <c r="L27" s="15"/>
      <c r="M27" s="15"/>
      <c r="N27" s="23"/>
      <c r="O27" s="23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</row>
    <row r="28" ht="16" customHeight="1" spans="1:46" x14ac:dyDescent="0.25">
      <c r="A28" s="16">
        <v>2</v>
      </c>
      <c r="B28" s="17" t="s">
        <v>87</v>
      </c>
      <c r="C28" s="16" t="s">
        <v>65</v>
      </c>
      <c r="D28" s="18">
        <v>46222.625</v>
      </c>
      <c r="E28" s="18">
        <v>46235.625</v>
      </c>
      <c r="F28" s="19">
        <v>0</v>
      </c>
      <c r="G28" s="26"/>
      <c r="H28" s="20"/>
      <c r="I28" s="20"/>
      <c r="J28" s="20"/>
      <c r="K28" s="20"/>
      <c r="L28" s="20"/>
      <c r="M28" s="20"/>
      <c r="N28" s="20"/>
      <c r="O28" s="23"/>
      <c r="P28" s="23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</row>
    <row r="29" ht="16" customHeight="1" spans="1:46" x14ac:dyDescent="0.25">
      <c r="A29" s="9">
        <v>3</v>
      </c>
      <c r="B29" s="10" t="s">
        <v>88</v>
      </c>
      <c r="C29" s="9" t="s">
        <v>60</v>
      </c>
      <c r="D29" s="11">
        <v>46222.625</v>
      </c>
      <c r="E29" s="11">
        <v>46235.625</v>
      </c>
      <c r="F29" s="12">
        <v>0</v>
      </c>
      <c r="G29" s="21"/>
      <c r="H29" s="15"/>
      <c r="I29" s="15"/>
      <c r="J29" s="15"/>
      <c r="K29" s="15"/>
      <c r="L29" s="15"/>
      <c r="M29" s="15"/>
      <c r="N29" s="15"/>
      <c r="O29" s="23"/>
      <c r="P29" s="23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</row>
    <row r="30" ht="16" customHeight="1" spans="1:46" x14ac:dyDescent="0.25">
      <c r="A30" s="16">
        <v>4</v>
      </c>
      <c r="B30" s="17" t="s">
        <v>89</v>
      </c>
      <c r="C30" s="16" t="s">
        <v>90</v>
      </c>
      <c r="D30" s="18">
        <v>46229.625</v>
      </c>
      <c r="E30" s="18">
        <v>46242.625</v>
      </c>
      <c r="F30" s="19">
        <v>0</v>
      </c>
      <c r="G30" s="26"/>
      <c r="H30" s="20"/>
      <c r="I30" s="20"/>
      <c r="J30" s="20"/>
      <c r="K30" s="20"/>
      <c r="L30" s="20"/>
      <c r="M30" s="20"/>
      <c r="N30" s="20"/>
      <c r="O30" s="20"/>
      <c r="P30" s="23"/>
      <c r="Q30" s="23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</row>
    <row r="31" ht="16" customHeight="1" spans="1:46" x14ac:dyDescent="0.25">
      <c r="A31" s="9">
        <v>5</v>
      </c>
      <c r="B31" s="10" t="s">
        <v>91</v>
      </c>
      <c r="C31" s="9" t="s">
        <v>90</v>
      </c>
      <c r="D31" s="11">
        <v>46236.625</v>
      </c>
      <c r="E31" s="11">
        <v>46249.625</v>
      </c>
      <c r="F31" s="12">
        <v>0</v>
      </c>
      <c r="G31" s="21"/>
      <c r="H31" s="15"/>
      <c r="I31" s="15"/>
      <c r="J31" s="15"/>
      <c r="K31" s="15"/>
      <c r="L31" s="15"/>
      <c r="M31" s="15"/>
      <c r="N31" s="15"/>
      <c r="O31" s="15"/>
      <c r="P31" s="15"/>
      <c r="Q31" s="23"/>
      <c r="R31" s="23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</row>
    <row r="32" ht="16" customHeight="1" spans="1:46" x14ac:dyDescent="0.25">
      <c r="A32" s="16">
        <v>6</v>
      </c>
      <c r="B32" s="17" t="s">
        <v>92</v>
      </c>
      <c r="C32" s="16" t="s">
        <v>75</v>
      </c>
      <c r="D32" s="18">
        <v>46243.625</v>
      </c>
      <c r="E32" s="18">
        <v>46256.625</v>
      </c>
      <c r="F32" s="19">
        <v>0</v>
      </c>
      <c r="G32" s="26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3"/>
      <c r="S32" s="23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</row>
    <row r="33" ht="16" customHeight="1" spans="1:46" x14ac:dyDescent="0.25">
      <c r="A33" s="9">
        <v>7</v>
      </c>
      <c r="B33" s="10" t="s">
        <v>93</v>
      </c>
      <c r="C33" s="9" t="s">
        <v>82</v>
      </c>
      <c r="D33" s="11">
        <v>46250.625</v>
      </c>
      <c r="E33" s="11">
        <v>46263.625</v>
      </c>
      <c r="F33" s="12">
        <v>0</v>
      </c>
      <c r="G33" s="21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23"/>
      <c r="T33" s="23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</row>
    <row r="34" ht="16" customHeight="1" spans="1:46" x14ac:dyDescent="0.25">
      <c r="A34" s="16">
        <v>8</v>
      </c>
      <c r="B34" s="17" t="s">
        <v>94</v>
      </c>
      <c r="C34" s="16" t="s">
        <v>75</v>
      </c>
      <c r="D34" s="18">
        <v>46257.625</v>
      </c>
      <c r="E34" s="18">
        <v>46270.625</v>
      </c>
      <c r="F34" s="19">
        <v>0</v>
      </c>
      <c r="G34" s="26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3"/>
      <c r="U34" s="23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</row>
    <row r="35" ht="18" customHeight="1" spans="1:46" x14ac:dyDescent="0.25">
      <c r="A35" s="33" t="s">
        <v>95</v>
      </c>
      <c r="B35" s="33"/>
      <c r="C35" s="33"/>
      <c r="D35" s="33"/>
      <c r="E35" s="33"/>
      <c r="F35" s="33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</row>
    <row r="36" ht="16" customHeight="1" spans="1:46" x14ac:dyDescent="0.25">
      <c r="A36" s="9">
        <v>1</v>
      </c>
      <c r="B36" s="10" t="s">
        <v>96</v>
      </c>
      <c r="C36" s="9" t="s">
        <v>60</v>
      </c>
      <c r="D36" s="11">
        <v>46222.625</v>
      </c>
      <c r="E36" s="11">
        <v>46235.625</v>
      </c>
      <c r="F36" s="12">
        <v>0</v>
      </c>
      <c r="G36" s="21"/>
      <c r="H36" s="15"/>
      <c r="I36" s="15"/>
      <c r="J36" s="15"/>
      <c r="K36" s="15"/>
      <c r="L36" s="15"/>
      <c r="M36" s="15"/>
      <c r="N36" s="15"/>
      <c r="O36" s="23"/>
      <c r="P36" s="23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</row>
    <row r="37" ht="16" customHeight="1" spans="1:46" x14ac:dyDescent="0.25">
      <c r="A37" s="16">
        <v>2</v>
      </c>
      <c r="B37" s="17" t="s">
        <v>97</v>
      </c>
      <c r="C37" s="16" t="s">
        <v>82</v>
      </c>
      <c r="D37" s="18">
        <v>46229.625</v>
      </c>
      <c r="E37" s="18">
        <v>46249.625</v>
      </c>
      <c r="F37" s="19">
        <v>0</v>
      </c>
      <c r="G37" s="26"/>
      <c r="H37" s="20"/>
      <c r="I37" s="20"/>
      <c r="J37" s="20"/>
      <c r="K37" s="20"/>
      <c r="L37" s="20"/>
      <c r="M37" s="20"/>
      <c r="N37" s="20"/>
      <c r="O37" s="20"/>
      <c r="P37" s="23"/>
      <c r="Q37" s="23"/>
      <c r="R37" s="23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</row>
    <row r="38" ht="16" customHeight="1" spans="1:46" x14ac:dyDescent="0.25">
      <c r="A38" s="9">
        <v>3</v>
      </c>
      <c r="B38" s="10" t="s">
        <v>98</v>
      </c>
      <c r="C38" s="9" t="s">
        <v>75</v>
      </c>
      <c r="D38" s="11">
        <v>46236.625</v>
      </c>
      <c r="E38" s="11">
        <v>46263.625</v>
      </c>
      <c r="F38" s="12">
        <v>0</v>
      </c>
      <c r="G38" s="21"/>
      <c r="H38" s="15"/>
      <c r="I38" s="15"/>
      <c r="J38" s="15"/>
      <c r="K38" s="15"/>
      <c r="L38" s="15"/>
      <c r="M38" s="15"/>
      <c r="N38" s="15"/>
      <c r="O38" s="15"/>
      <c r="P38" s="15"/>
      <c r="Q38" s="23"/>
      <c r="R38" s="23"/>
      <c r="S38" s="23"/>
      <c r="T38" s="23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</row>
    <row r="39" ht="16" customHeight="1" spans="1:46" x14ac:dyDescent="0.25">
      <c r="A39" s="16">
        <v>4</v>
      </c>
      <c r="B39" s="17" t="s">
        <v>99</v>
      </c>
      <c r="C39" s="16" t="s">
        <v>65</v>
      </c>
      <c r="D39" s="18">
        <v>46243.625</v>
      </c>
      <c r="E39" s="18">
        <v>46263.625</v>
      </c>
      <c r="F39" s="19">
        <v>0</v>
      </c>
      <c r="G39" s="2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3"/>
      <c r="S39" s="23"/>
      <c r="T39" s="23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</row>
    <row r="40" ht="16" customHeight="1" spans="1:46" x14ac:dyDescent="0.25">
      <c r="A40" s="9">
        <v>5</v>
      </c>
      <c r="B40" s="10" t="s">
        <v>100</v>
      </c>
      <c r="C40" s="9" t="s">
        <v>60</v>
      </c>
      <c r="D40" s="11">
        <v>46250.625</v>
      </c>
      <c r="E40" s="11">
        <v>46270.625</v>
      </c>
      <c r="F40" s="12">
        <v>0</v>
      </c>
      <c r="G40" s="21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23"/>
      <c r="T40" s="23"/>
      <c r="U40" s="23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</row>
    <row r="41" ht="18" customHeight="1" spans="1:46" x14ac:dyDescent="0.25">
      <c r="A41" s="35" t="s">
        <v>101</v>
      </c>
      <c r="B41" s="35"/>
      <c r="C41" s="35"/>
      <c r="D41" s="35"/>
      <c r="E41" s="35"/>
      <c r="F41" s="3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ht="16" customHeight="1" spans="1:46" x14ac:dyDescent="0.25">
      <c r="A42" s="9">
        <v>1</v>
      </c>
      <c r="B42" s="10" t="s">
        <v>102</v>
      </c>
      <c r="C42" s="9" t="s">
        <v>60</v>
      </c>
      <c r="D42" s="11">
        <v>46264.625</v>
      </c>
      <c r="E42" s="11">
        <v>46277.625</v>
      </c>
      <c r="F42" s="12">
        <v>0</v>
      </c>
      <c r="G42" s="21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23"/>
      <c r="V42" s="23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</row>
    <row r="43" ht="16" customHeight="1" spans="1:46" x14ac:dyDescent="0.25">
      <c r="A43" s="16">
        <v>2</v>
      </c>
      <c r="B43" s="17" t="s">
        <v>103</v>
      </c>
      <c r="C43" s="16" t="s">
        <v>65</v>
      </c>
      <c r="D43" s="18">
        <v>46271.625</v>
      </c>
      <c r="E43" s="18">
        <v>46291.625</v>
      </c>
      <c r="F43" s="19">
        <v>0</v>
      </c>
      <c r="G43" s="26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3"/>
      <c r="W43" s="23"/>
      <c r="X43" s="23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</row>
    <row r="44" ht="16" customHeight="1" spans="1:46" x14ac:dyDescent="0.25">
      <c r="A44" s="9">
        <v>3</v>
      </c>
      <c r="B44" s="10" t="s">
        <v>104</v>
      </c>
      <c r="C44" s="9" t="s">
        <v>60</v>
      </c>
      <c r="D44" s="11">
        <v>46278.625</v>
      </c>
      <c r="E44" s="11">
        <v>46298.625</v>
      </c>
      <c r="F44" s="12">
        <v>0</v>
      </c>
      <c r="G44" s="21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23"/>
      <c r="X44" s="23"/>
      <c r="Y44" s="23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</row>
    <row r="45" ht="16" customHeight="1" spans="1:46" x14ac:dyDescent="0.25">
      <c r="A45" s="16">
        <v>4</v>
      </c>
      <c r="B45" s="17" t="s">
        <v>105</v>
      </c>
      <c r="C45" s="16" t="s">
        <v>75</v>
      </c>
      <c r="D45" s="18">
        <v>46285.625</v>
      </c>
      <c r="E45" s="18">
        <v>46305.625</v>
      </c>
      <c r="F45" s="19">
        <v>0</v>
      </c>
      <c r="G45" s="26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3"/>
      <c r="Y45" s="23"/>
      <c r="Z45" s="23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</row>
    <row r="46" ht="16" customHeight="1" spans="1:46" x14ac:dyDescent="0.25">
      <c r="A46" s="9">
        <v>5</v>
      </c>
      <c r="B46" s="10" t="s">
        <v>106</v>
      </c>
      <c r="C46" s="9" t="s">
        <v>82</v>
      </c>
      <c r="D46" s="11">
        <v>46292.625</v>
      </c>
      <c r="E46" s="11">
        <v>46312.625</v>
      </c>
      <c r="F46" s="12">
        <v>0</v>
      </c>
      <c r="G46" s="21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23"/>
      <c r="Z46" s="23"/>
      <c r="AA46" s="23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</row>
    <row r="47" ht="16" customHeight="1" spans="1:46" x14ac:dyDescent="0.25">
      <c r="A47" s="16">
        <v>6</v>
      </c>
      <c r="B47" s="17" t="s">
        <v>107</v>
      </c>
      <c r="C47" s="16" t="s">
        <v>90</v>
      </c>
      <c r="D47" s="18">
        <v>46299.625</v>
      </c>
      <c r="E47" s="18">
        <v>46326.625</v>
      </c>
      <c r="F47" s="19">
        <v>0</v>
      </c>
      <c r="G47" s="26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3"/>
      <c r="AA47" s="23"/>
      <c r="AB47" s="23"/>
      <c r="AC47" s="23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</row>
    <row r="48" ht="16" customHeight="1" spans="1:46" x14ac:dyDescent="0.25">
      <c r="A48" s="9">
        <v>7</v>
      </c>
      <c r="B48" s="10" t="s">
        <v>108</v>
      </c>
      <c r="C48" s="9" t="s">
        <v>65</v>
      </c>
      <c r="D48" s="11">
        <v>46313.625</v>
      </c>
      <c r="E48" s="11">
        <v>46333.625</v>
      </c>
      <c r="F48" s="12">
        <v>0</v>
      </c>
      <c r="G48" s="21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23"/>
      <c r="AC48" s="23"/>
      <c r="AD48" s="23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</row>
    <row r="49" ht="18" customHeight="1" spans="1:46" x14ac:dyDescent="0.25">
      <c r="A49" s="37" t="s">
        <v>109</v>
      </c>
      <c r="B49" s="37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</row>
    <row r="50" ht="16" customHeight="1" spans="1:46" x14ac:dyDescent="0.25">
      <c r="A50" s="9">
        <v>1</v>
      </c>
      <c r="B50" s="10" t="s">
        <v>110</v>
      </c>
      <c r="C50" s="9" t="s">
        <v>60</v>
      </c>
      <c r="D50" s="11">
        <v>46320.625</v>
      </c>
      <c r="E50" s="11">
        <v>46326.625</v>
      </c>
      <c r="F50" s="12">
        <v>0</v>
      </c>
      <c r="G50" s="21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23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</row>
    <row r="51" ht="16" customHeight="1" spans="1:46" x14ac:dyDescent="0.25">
      <c r="A51" s="16">
        <v>2</v>
      </c>
      <c r="B51" s="17" t="s">
        <v>111</v>
      </c>
      <c r="C51" s="16" t="s">
        <v>60</v>
      </c>
      <c r="D51" s="18">
        <v>46320.625</v>
      </c>
      <c r="E51" s="18">
        <v>46333.625</v>
      </c>
      <c r="F51" s="19">
        <v>0</v>
      </c>
      <c r="G51" s="26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3"/>
      <c r="AD51" s="23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</row>
    <row r="52" ht="16" customHeight="1" spans="1:46" x14ac:dyDescent="0.25">
      <c r="A52" s="9">
        <v>3</v>
      </c>
      <c r="B52" s="10" t="s">
        <v>112</v>
      </c>
      <c r="C52" s="9" t="s">
        <v>82</v>
      </c>
      <c r="D52" s="11">
        <v>46327.625</v>
      </c>
      <c r="E52" s="11">
        <v>46340.625</v>
      </c>
      <c r="F52" s="12">
        <v>0</v>
      </c>
      <c r="G52" s="21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23"/>
      <c r="AE52" s="23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</row>
    <row r="53" ht="16" customHeight="1" spans="1:46" x14ac:dyDescent="0.25">
      <c r="A53" s="16">
        <v>4</v>
      </c>
      <c r="B53" s="17" t="s">
        <v>113</v>
      </c>
      <c r="C53" s="16" t="s">
        <v>62</v>
      </c>
      <c r="D53" s="18">
        <v>46327.625</v>
      </c>
      <c r="E53" s="18">
        <v>46340.625</v>
      </c>
      <c r="F53" s="19">
        <v>0</v>
      </c>
      <c r="G53" s="26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3"/>
      <c r="AE53" s="23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</row>
    <row r="54" ht="16" customHeight="1" spans="1:46" x14ac:dyDescent="0.25">
      <c r="A54" s="9">
        <v>5</v>
      </c>
      <c r="B54" s="10" t="s">
        <v>114</v>
      </c>
      <c r="C54" s="9" t="s">
        <v>62</v>
      </c>
      <c r="D54" s="11">
        <v>46327.625</v>
      </c>
      <c r="E54" s="11">
        <v>46347.625</v>
      </c>
      <c r="F54" s="12">
        <v>0</v>
      </c>
      <c r="G54" s="21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23"/>
      <c r="AE54" s="23"/>
      <c r="AF54" s="23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</row>
    <row r="55" ht="18" customHeight="1" spans="1:46" x14ac:dyDescent="0.25">
      <c r="A55" s="39" t="s">
        <v>115</v>
      </c>
      <c r="B55" s="39"/>
      <c r="C55" s="39"/>
      <c r="D55" s="39"/>
      <c r="E55" s="39"/>
      <c r="F55" s="39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</row>
    <row r="56" ht="16" customHeight="1" spans="1:46" x14ac:dyDescent="0.25">
      <c r="A56" s="9">
        <v>1</v>
      </c>
      <c r="B56" s="10" t="s">
        <v>116</v>
      </c>
      <c r="C56" s="9" t="s">
        <v>65</v>
      </c>
      <c r="D56" s="11">
        <v>46313.625</v>
      </c>
      <c r="E56" s="11">
        <v>46333.625</v>
      </c>
      <c r="F56" s="12">
        <v>0</v>
      </c>
      <c r="G56" s="21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23"/>
      <c r="AC56" s="23"/>
      <c r="AD56" s="23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</row>
    <row r="57" ht="16" customHeight="1" spans="1:46" x14ac:dyDescent="0.25">
      <c r="A57" s="16">
        <v>2</v>
      </c>
      <c r="B57" s="17" t="s">
        <v>117</v>
      </c>
      <c r="C57" s="16" t="s">
        <v>82</v>
      </c>
      <c r="D57" s="18">
        <v>46327.625</v>
      </c>
      <c r="E57" s="18">
        <v>46340.625</v>
      </c>
      <c r="F57" s="19">
        <v>0</v>
      </c>
      <c r="G57" s="26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3"/>
      <c r="AE57" s="23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</row>
    <row r="58" ht="16" customHeight="1" spans="1:46" x14ac:dyDescent="0.25">
      <c r="A58" s="9">
        <v>3</v>
      </c>
      <c r="B58" s="10" t="s">
        <v>118</v>
      </c>
      <c r="C58" s="9" t="s">
        <v>60</v>
      </c>
      <c r="D58" s="11">
        <v>46327.625</v>
      </c>
      <c r="E58" s="11">
        <v>46347.625</v>
      </c>
      <c r="F58" s="12">
        <v>0</v>
      </c>
      <c r="G58" s="21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23"/>
      <c r="AE58" s="23"/>
      <c r="AF58" s="23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</row>
    <row r="59" ht="16" customHeight="1" spans="1:46" x14ac:dyDescent="0.25">
      <c r="A59" s="16">
        <v>4</v>
      </c>
      <c r="B59" s="17" t="s">
        <v>119</v>
      </c>
      <c r="C59" s="16" t="s">
        <v>65</v>
      </c>
      <c r="D59" s="18">
        <v>46334.625</v>
      </c>
      <c r="E59" s="18">
        <v>46347.625</v>
      </c>
      <c r="F59" s="19">
        <v>0</v>
      </c>
      <c r="G59" s="26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3"/>
      <c r="AF59" s="23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</row>
    <row r="60" ht="16" customHeight="1" spans="1:46" x14ac:dyDescent="0.25">
      <c r="A60" s="9">
        <v>5</v>
      </c>
      <c r="B60" s="10" t="s">
        <v>120</v>
      </c>
      <c r="C60" s="9" t="s">
        <v>62</v>
      </c>
      <c r="D60" s="11">
        <v>46341.625</v>
      </c>
      <c r="E60" s="11">
        <v>46347.625</v>
      </c>
      <c r="F60" s="12">
        <v>0</v>
      </c>
      <c r="G60" s="21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23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</row>
    <row r="61" ht="16" customHeight="1" spans="1:46" x14ac:dyDescent="0.25">
      <c r="A61" s="16">
        <v>6</v>
      </c>
      <c r="B61" s="41" t="s">
        <v>121</v>
      </c>
      <c r="C61" s="16" t="s">
        <v>62</v>
      </c>
      <c r="D61" s="18">
        <v>46348.625</v>
      </c>
      <c r="E61" s="18">
        <v>46354.625</v>
      </c>
      <c r="F61" s="19">
        <v>0</v>
      </c>
      <c r="G61" s="26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8" t="s">
        <v>72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</row>
    <row r="62" ht="18" customHeight="1" spans="1:46" x14ac:dyDescent="0.25">
      <c r="A62" s="42" t="s">
        <v>122</v>
      </c>
      <c r="B62" s="42"/>
      <c r="C62" s="42"/>
      <c r="D62" s="42"/>
      <c r="E62" s="42"/>
      <c r="F62" s="42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</row>
    <row r="63" ht="16" customHeight="1" spans="1:46" x14ac:dyDescent="0.25">
      <c r="A63" s="9">
        <v>1</v>
      </c>
      <c r="B63" s="10" t="s">
        <v>123</v>
      </c>
      <c r="C63" s="9" t="s">
        <v>62</v>
      </c>
      <c r="D63" s="11">
        <v>46355.625</v>
      </c>
      <c r="E63" s="11">
        <v>46368.625</v>
      </c>
      <c r="F63" s="12">
        <v>0</v>
      </c>
      <c r="G63" s="21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3"/>
      <c r="AI63" s="23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</row>
    <row r="64" ht="16" customHeight="1" spans="1:46" x14ac:dyDescent="0.25">
      <c r="A64" s="16">
        <v>2</v>
      </c>
      <c r="B64" s="17" t="s">
        <v>124</v>
      </c>
      <c r="C64" s="16" t="s">
        <v>90</v>
      </c>
      <c r="D64" s="18">
        <v>46362.625</v>
      </c>
      <c r="E64" s="18">
        <v>46389.625</v>
      </c>
      <c r="F64" s="19">
        <v>0</v>
      </c>
      <c r="G64" s="26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3"/>
      <c r="AJ64" s="23"/>
      <c r="AK64" s="23"/>
      <c r="AL64" s="23"/>
      <c r="AM64" s="20"/>
      <c r="AN64" s="20"/>
      <c r="AO64" s="20"/>
      <c r="AP64" s="20"/>
      <c r="AQ64" s="20"/>
      <c r="AR64" s="20"/>
      <c r="AS64" s="20"/>
      <c r="AT64" s="20"/>
    </row>
    <row r="65" ht="16" customHeight="1" spans="1:46" x14ac:dyDescent="0.25">
      <c r="A65" s="9">
        <v>3</v>
      </c>
      <c r="B65" s="10" t="s">
        <v>125</v>
      </c>
      <c r="C65" s="9" t="s">
        <v>75</v>
      </c>
      <c r="D65" s="11">
        <v>46376.625</v>
      </c>
      <c r="E65" s="11">
        <v>46403.625</v>
      </c>
      <c r="F65" s="12">
        <v>0</v>
      </c>
      <c r="G65" s="21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23"/>
      <c r="AL65" s="23"/>
      <c r="AM65" s="23"/>
      <c r="AN65" s="23"/>
      <c r="AO65" s="15"/>
      <c r="AP65" s="15"/>
      <c r="AQ65" s="15"/>
      <c r="AR65" s="15"/>
      <c r="AS65" s="15"/>
      <c r="AT65" s="15"/>
    </row>
    <row r="66" ht="16" customHeight="1" spans="1:46" x14ac:dyDescent="0.25">
      <c r="A66" s="16">
        <v>4</v>
      </c>
      <c r="B66" s="17" t="s">
        <v>126</v>
      </c>
      <c r="C66" s="16" t="s">
        <v>82</v>
      </c>
      <c r="D66" s="18">
        <v>46390.625</v>
      </c>
      <c r="E66" s="18">
        <v>46403.625</v>
      </c>
      <c r="F66" s="19">
        <v>0</v>
      </c>
      <c r="G66" s="26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3"/>
      <c r="AN66" s="23"/>
      <c r="AO66" s="20"/>
      <c r="AP66" s="20"/>
      <c r="AQ66" s="20"/>
      <c r="AR66" s="20"/>
      <c r="AS66" s="20"/>
      <c r="AT66" s="20"/>
    </row>
    <row r="67" ht="16" customHeight="1" spans="1:46" x14ac:dyDescent="0.25">
      <c r="A67" s="9">
        <v>5</v>
      </c>
      <c r="B67" s="10" t="s">
        <v>127</v>
      </c>
      <c r="C67" s="9" t="s">
        <v>62</v>
      </c>
      <c r="D67" s="11">
        <v>46397.625</v>
      </c>
      <c r="E67" s="11">
        <v>46417.625</v>
      </c>
      <c r="F67" s="12">
        <v>0</v>
      </c>
      <c r="G67" s="21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23"/>
      <c r="AO67" s="23"/>
      <c r="AP67" s="23"/>
      <c r="AQ67" s="15"/>
      <c r="AR67" s="15"/>
      <c r="AS67" s="15"/>
      <c r="AT67" s="15"/>
    </row>
    <row r="68" ht="16" customHeight="1" spans="1:46" x14ac:dyDescent="0.25">
      <c r="A68" s="16">
        <v>6</v>
      </c>
      <c r="B68" s="17" t="s">
        <v>128</v>
      </c>
      <c r="C68" s="16" t="s">
        <v>60</v>
      </c>
      <c r="D68" s="18">
        <v>46404.625</v>
      </c>
      <c r="E68" s="18">
        <v>46424.625</v>
      </c>
      <c r="F68" s="19">
        <v>0</v>
      </c>
      <c r="G68" s="26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3"/>
      <c r="AP68" s="23"/>
      <c r="AQ68" s="23"/>
      <c r="AR68" s="20"/>
      <c r="AS68" s="20"/>
      <c r="AT68" s="20"/>
    </row>
    <row r="69" ht="16" customHeight="1" spans="1:46" x14ac:dyDescent="0.25">
      <c r="A69" s="9">
        <v>7</v>
      </c>
      <c r="B69" s="10" t="s">
        <v>129</v>
      </c>
      <c r="C69" s="9" t="s">
        <v>65</v>
      </c>
      <c r="D69" s="11">
        <v>46411.625</v>
      </c>
      <c r="E69" s="11">
        <v>46424.625</v>
      </c>
      <c r="F69" s="12">
        <v>0</v>
      </c>
      <c r="G69" s="21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23"/>
      <c r="AQ69" s="23"/>
      <c r="AR69" s="15"/>
      <c r="AS69" s="15"/>
      <c r="AT69" s="15"/>
    </row>
    <row r="70" ht="16" customHeight="1" spans="1:46" x14ac:dyDescent="0.25">
      <c r="A70" s="16">
        <v>8</v>
      </c>
      <c r="B70" s="17" t="s">
        <v>130</v>
      </c>
      <c r="C70" s="16" t="s">
        <v>62</v>
      </c>
      <c r="D70" s="18">
        <v>46418.625</v>
      </c>
      <c r="E70" s="18">
        <v>46431.625</v>
      </c>
      <c r="F70" s="19">
        <v>0</v>
      </c>
      <c r="G70" s="26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3"/>
      <c r="AR70" s="23"/>
      <c r="AS70" s="20"/>
      <c r="AT70" s="20"/>
    </row>
    <row r="71" ht="16" customHeight="1" spans="1:46" x14ac:dyDescent="0.25">
      <c r="A71" s="9">
        <v>9</v>
      </c>
      <c r="B71" s="27" t="s">
        <v>131</v>
      </c>
      <c r="C71" s="9" t="s">
        <v>62</v>
      </c>
      <c r="D71" s="11">
        <v>46432.625</v>
      </c>
      <c r="E71" s="11">
        <v>46438.625</v>
      </c>
      <c r="F71" s="12">
        <v>0</v>
      </c>
      <c r="G71" s="21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28" t="s">
        <v>72</v>
      </c>
      <c r="AT71" s="15"/>
    </row>
    <row r="73" ht="20" customHeight="1" spans="1:6" x14ac:dyDescent="0.25">
      <c r="A73" s="44" t="s">
        <v>132</v>
      </c>
      <c r="B73" s="44"/>
      <c r="C73" s="45"/>
      <c r="D73" s="45"/>
      <c r="E73" s="45"/>
      <c r="F73" s="46">
        <f>AVERAGE(F5:F71)</f>
      </c>
    </row>
  </sheetData>
  <mergeCells count="27">
    <mergeCell ref="A1:AT1"/>
    <mergeCell ref="A2:AT2"/>
    <mergeCell ref="H3:L3"/>
    <mergeCell ref="M3:P3"/>
    <mergeCell ref="Q3:U3"/>
    <mergeCell ref="V3:Y3"/>
    <mergeCell ref="Z3:AC3"/>
    <mergeCell ref="AD3:AH3"/>
    <mergeCell ref="AI3:AL3"/>
    <mergeCell ref="AM3:AP3"/>
    <mergeCell ref="AQ3:AT3"/>
    <mergeCell ref="A3:A4"/>
    <mergeCell ref="B3:B4"/>
    <mergeCell ref="C3:C4"/>
    <mergeCell ref="D3:D4"/>
    <mergeCell ref="E3:E4"/>
    <mergeCell ref="F3:F4"/>
    <mergeCell ref="A5:F5"/>
    <mergeCell ref="A12:F12"/>
    <mergeCell ref="A19:F19"/>
    <mergeCell ref="A26:F26"/>
    <mergeCell ref="A35:F35"/>
    <mergeCell ref="A41:F41"/>
    <mergeCell ref="A49:F49"/>
    <mergeCell ref="A55:F55"/>
    <mergeCell ref="A62:F62"/>
    <mergeCell ref="A73:B73"/>
  </mergeCells>
  <conditionalFormatting sqref="F5:F71">
    <cfRule type="dataBar" priority="1">
      <dataBar>
        <cfvo type="num" val="0"/>
        <cfvo type="num" val="1"/>
        <color rgb="FF63B3ED"/>
      </dataBar>
      <extLst>
        <ext xmlns:x14="http://schemas.microsoft.com/office/spreadsheetml/2009/9/main" uri="{B025F937-C7B1-47D3-B67F-A62EFF666E3E}">
          <x14:id>{D33CA17A-07CC-4463-AB90-D13646C396A1}</x14:id>
        </ext>
      </extLst>
    </cfRule>
  </conditionalFormatting>
  <pageMargins left="0.3" right="0.3" top="0.4" bottom="0.4" header="0.2" footer="0.2"/>
  <pageSetup paperSize="8" orientation="landscape" fitToWidth="1" fitToHeight="0"/>
  <headerFooter>
    <oddFooter>&amp;L田島組 ガントチャート&amp;R&amp;P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3CA17A-07CC-4463-AB90-D13646C396A1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F5:F71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ガントチャート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田島組</dc:creator>
  <dc:title/>
  <dc:subject/>
  <dc:description/>
  <cp:keywords/>
  <cp:category/>
  <cp:lastModifiedBy>Unknown</cp:lastModifiedBy>
  <dcterms:created xsi:type="dcterms:W3CDTF">2026-05-30T06:23:46Z</dcterms:created>
  <dcterms:modified xsi:type="dcterms:W3CDTF">2026-05-30T06:23:46Z</dcterms:modified>
</cp:coreProperties>
</file>